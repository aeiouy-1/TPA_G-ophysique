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hurcare/Desktop/Bureau-TAMER/Travaux Université/TPA/"/>
    </mc:Choice>
  </mc:AlternateContent>
  <xr:revisionPtr revIDLastSave="0" documentId="8_{E709D080-0DEC-6241-8FC8-193DD43BFCEB}" xr6:coauthVersionLast="47" xr6:coauthVersionMax="47" xr10:uidLastSave="{00000000-0000-0000-0000-000000000000}"/>
  <bookViews>
    <workbookView xWindow="660" yWindow="760" windowWidth="28040" windowHeight="17240" xr2:uid="{AAC11361-340F-E743-B3B7-B2A8D8A3BF6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4" i="1" l="1"/>
  <c r="H35" i="1"/>
  <c r="F34" i="1"/>
  <c r="F35" i="1"/>
  <c r="F33" i="1"/>
  <c r="H33" i="1"/>
  <c r="F32" i="1"/>
  <c r="H32" i="1"/>
  <c r="F31" i="1"/>
  <c r="H31" i="1"/>
  <c r="F30" i="1"/>
  <c r="H30" i="1"/>
  <c r="F29" i="1"/>
  <c r="H29" i="1"/>
  <c r="F28" i="1"/>
  <c r="H28" i="1"/>
  <c r="F27" i="1"/>
  <c r="H27" i="1"/>
  <c r="F26" i="1"/>
  <c r="H26" i="1"/>
  <c r="F25" i="1"/>
  <c r="H25" i="1"/>
  <c r="F24" i="1"/>
  <c r="H24" i="1"/>
  <c r="F23" i="1"/>
  <c r="H23" i="1"/>
  <c r="F22" i="1"/>
  <c r="H22" i="1"/>
  <c r="F21" i="1"/>
  <c r="H21" i="1"/>
  <c r="F20" i="1"/>
  <c r="H20" i="1"/>
  <c r="F19" i="1"/>
  <c r="H19" i="1"/>
  <c r="F18" i="1"/>
  <c r="H18" i="1"/>
  <c r="H17" i="1"/>
  <c r="F17" i="1"/>
  <c r="H16" i="1"/>
  <c r="F16" i="1"/>
  <c r="H15" i="1"/>
  <c r="F15" i="1"/>
  <c r="F14" i="1"/>
  <c r="H14" i="1"/>
</calcChain>
</file>

<file path=xl/sharedStrings.xml><?xml version="1.0" encoding="utf-8"?>
<sst xmlns="http://schemas.openxmlformats.org/spreadsheetml/2006/main" count="36" uniqueCount="13">
  <si>
    <t>Géophone 1</t>
  </si>
  <si>
    <t>Géophone 2</t>
  </si>
  <si>
    <t>Géophone 3</t>
  </si>
  <si>
    <t>Delta x</t>
  </si>
  <si>
    <t>Delta t</t>
  </si>
  <si>
    <t>scope _XX</t>
  </si>
  <si>
    <t>[m]</t>
  </si>
  <si>
    <t>[ms]</t>
  </si>
  <si>
    <t>Hauteur première crête</t>
  </si>
  <si>
    <t>Critère de selection</t>
  </si>
  <si>
    <t>Hauteur deuxième crête</t>
  </si>
  <si>
    <t>Scope_41 = ERATUM --&gt; 40 RECPLICATA de 39</t>
  </si>
  <si>
    <t>scope 45 = remake de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</si>
</sst>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940342847157119E-2"/>
          <c:y val="3.0410041265639235E-2"/>
          <c:w val="0.91401015320670387"/>
          <c:h val="0.87982971061031656"/>
        </c:manualLayout>
      </c:layout>
      <c:scatterChart>
        <c:scatterStyle val="lineMarker"/>
        <c:varyColors val="0"/>
        <c:ser>
          <c:idx val="0"/>
          <c:order val="0"/>
          <c:tx>
            <c:v>Géophone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Feuil1!$D$14:$D$33</c:f>
              <c:numCache>
                <c:formatCode>0.00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1.5</c:v>
                </c:pt>
                <c:pt idx="11">
                  <c:v>2</c:v>
                </c:pt>
                <c:pt idx="12">
                  <c:v>2.5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3.5</c:v>
                </c:pt>
                <c:pt idx="17">
                  <c:v>3.8</c:v>
                </c:pt>
                <c:pt idx="18">
                  <c:v>4.2</c:v>
                </c:pt>
                <c:pt idx="19">
                  <c:v>3.25</c:v>
                </c:pt>
              </c:numCache>
            </c:numRef>
          </c:xVal>
          <c:yVal>
            <c:numRef>
              <c:f>Feuil1!$E$14:$E$33</c:f>
              <c:numCache>
                <c:formatCode>0.00</c:formatCode>
                <c:ptCount val="20"/>
                <c:pt idx="0">
                  <c:v>4</c:v>
                </c:pt>
                <c:pt idx="1">
                  <c:v>3.82</c:v>
                </c:pt>
                <c:pt idx="2">
                  <c:v>4.5</c:v>
                </c:pt>
                <c:pt idx="3">
                  <c:v>5.4</c:v>
                </c:pt>
                <c:pt idx="4">
                  <c:v>6.1</c:v>
                </c:pt>
                <c:pt idx="5">
                  <c:v>6.1</c:v>
                </c:pt>
                <c:pt idx="6">
                  <c:v>6.2</c:v>
                </c:pt>
                <c:pt idx="7">
                  <c:v>6.8</c:v>
                </c:pt>
                <c:pt idx="8">
                  <c:v>7.52</c:v>
                </c:pt>
                <c:pt idx="9">
                  <c:v>7.9</c:v>
                </c:pt>
                <c:pt idx="10">
                  <c:v>9.6</c:v>
                </c:pt>
                <c:pt idx="11">
                  <c:v>12.1</c:v>
                </c:pt>
                <c:pt idx="12">
                  <c:v>14.3</c:v>
                </c:pt>
                <c:pt idx="13">
                  <c:v>26.1</c:v>
                </c:pt>
                <c:pt idx="14">
                  <c:v>16.22</c:v>
                </c:pt>
                <c:pt idx="15">
                  <c:v>17.100000000000001</c:v>
                </c:pt>
                <c:pt idx="16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DE-014A-AE5A-5D4BC9DAD6E3}"/>
            </c:ext>
          </c:extLst>
        </c:ser>
        <c:ser>
          <c:idx val="1"/>
          <c:order val="1"/>
          <c:tx>
            <c:v>Géophone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Feuil1!$F$14:$F$33</c:f>
              <c:numCache>
                <c:formatCode>0.00</c:formatCode>
                <c:ptCount val="20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  <c:pt idx="5">
                  <c:v>1.1000000000000001</c:v>
                </c:pt>
                <c:pt idx="6">
                  <c:v>1.2</c:v>
                </c:pt>
                <c:pt idx="7">
                  <c:v>1.3</c:v>
                </c:pt>
                <c:pt idx="8">
                  <c:v>1.4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  <c:pt idx="13">
                  <c:v>3.5</c:v>
                </c:pt>
                <c:pt idx="14">
                  <c:v>5.5</c:v>
                </c:pt>
                <c:pt idx="15">
                  <c:v>6.5</c:v>
                </c:pt>
                <c:pt idx="16">
                  <c:v>4</c:v>
                </c:pt>
                <c:pt idx="17">
                  <c:v>4.3</c:v>
                </c:pt>
                <c:pt idx="18">
                  <c:v>4.7</c:v>
                </c:pt>
                <c:pt idx="19">
                  <c:v>3.75</c:v>
                </c:pt>
              </c:numCache>
            </c:numRef>
          </c:xVal>
          <c:yVal>
            <c:numRef>
              <c:f>Feuil1!$G$14:$G$33</c:f>
              <c:numCache>
                <c:formatCode>0.00</c:formatCode>
                <c:ptCount val="20"/>
                <c:pt idx="0">
                  <c:v>5</c:v>
                </c:pt>
                <c:pt idx="1">
                  <c:v>5.42</c:v>
                </c:pt>
                <c:pt idx="2">
                  <c:v>5.9</c:v>
                </c:pt>
                <c:pt idx="3">
                  <c:v>6.5</c:v>
                </c:pt>
                <c:pt idx="4">
                  <c:v>7.3</c:v>
                </c:pt>
                <c:pt idx="5">
                  <c:v>7.3</c:v>
                </c:pt>
                <c:pt idx="6">
                  <c:v>7.7</c:v>
                </c:pt>
                <c:pt idx="7">
                  <c:v>8.3000000000000007</c:v>
                </c:pt>
                <c:pt idx="8">
                  <c:v>8.92</c:v>
                </c:pt>
                <c:pt idx="9">
                  <c:v>9.6</c:v>
                </c:pt>
                <c:pt idx="10">
                  <c:v>11.3</c:v>
                </c:pt>
                <c:pt idx="11">
                  <c:v>14.1</c:v>
                </c:pt>
                <c:pt idx="12">
                  <c:v>15.8</c:v>
                </c:pt>
                <c:pt idx="13">
                  <c:v>28</c:v>
                </c:pt>
                <c:pt idx="14">
                  <c:v>16.8</c:v>
                </c:pt>
                <c:pt idx="15">
                  <c:v>18.100000000000001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DE-014A-AE5A-5D4BC9DAD6E3}"/>
            </c:ext>
          </c:extLst>
        </c:ser>
        <c:ser>
          <c:idx val="2"/>
          <c:order val="2"/>
          <c:tx>
            <c:v>Géophone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Feuil1!$H$14:$H$33</c:f>
              <c:numCache>
                <c:formatCode>0.00</c:formatCode>
                <c:ptCount val="20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2.5</c:v>
                </c:pt>
                <c:pt idx="11">
                  <c:v>3</c:v>
                </c:pt>
                <c:pt idx="12">
                  <c:v>3.5</c:v>
                </c:pt>
                <c:pt idx="13">
                  <c:v>4</c:v>
                </c:pt>
                <c:pt idx="14">
                  <c:v>6</c:v>
                </c:pt>
                <c:pt idx="15">
                  <c:v>7</c:v>
                </c:pt>
                <c:pt idx="16">
                  <c:v>4.5</c:v>
                </c:pt>
                <c:pt idx="17">
                  <c:v>4.8</c:v>
                </c:pt>
                <c:pt idx="18">
                  <c:v>5.2</c:v>
                </c:pt>
                <c:pt idx="19">
                  <c:v>4.25</c:v>
                </c:pt>
              </c:numCache>
            </c:numRef>
          </c:xVal>
          <c:yVal>
            <c:numRef>
              <c:f>Feuil1!$I$14:$I$33</c:f>
              <c:numCache>
                <c:formatCode>0.00</c:formatCode>
                <c:ptCount val="20"/>
                <c:pt idx="0">
                  <c:v>7</c:v>
                </c:pt>
                <c:pt idx="1">
                  <c:v>7.42</c:v>
                </c:pt>
                <c:pt idx="2">
                  <c:v>8.1</c:v>
                </c:pt>
                <c:pt idx="3">
                  <c:v>8.6999999999999993</c:v>
                </c:pt>
                <c:pt idx="4">
                  <c:v>9.5</c:v>
                </c:pt>
                <c:pt idx="5">
                  <c:v>9.6</c:v>
                </c:pt>
                <c:pt idx="6">
                  <c:v>10</c:v>
                </c:pt>
                <c:pt idx="7">
                  <c:v>10.4</c:v>
                </c:pt>
                <c:pt idx="8">
                  <c:v>11.12</c:v>
                </c:pt>
                <c:pt idx="9">
                  <c:v>11.6</c:v>
                </c:pt>
                <c:pt idx="10">
                  <c:v>13.5</c:v>
                </c:pt>
                <c:pt idx="11">
                  <c:v>15.7</c:v>
                </c:pt>
                <c:pt idx="12">
                  <c:v>17.100000000000001</c:v>
                </c:pt>
                <c:pt idx="13">
                  <c:v>29.7</c:v>
                </c:pt>
                <c:pt idx="14">
                  <c:v>17.899999999999999</c:v>
                </c:pt>
                <c:pt idx="15">
                  <c:v>19.2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DE-014A-AE5A-5D4BC9DAD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153392"/>
        <c:axId val="1509693632"/>
      </c:scatterChart>
      <c:valAx>
        <c:axId val="123115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9693632"/>
        <c:crosses val="autoZero"/>
        <c:crossBetween val="midCat"/>
      </c:valAx>
      <c:valAx>
        <c:axId val="15096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115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552450</xdr:colOff>
      <xdr:row>17</xdr:row>
      <xdr:rowOff>127000</xdr:rowOff>
    </xdr:from>
    <xdr:to>
      <xdr:col>19</xdr:col>
      <xdr:colOff>342900</xdr:colOff>
      <xdr:row>46</xdr:row>
      <xdr:rowOff>50800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6F45027-E1B8-4328-157E-4CB639C26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FDDD-AB67-1C42-8B94-BC54B8AED8A5}">
  <dimension ref="A8:J35"/>
  <sheetViews>
    <sheetView tabSelected="1" topLeftCell="A6" workbookViewId="0">
      <selection activeCell="H42" sqref="H42"/>
    </sheetView>
  </sheetViews>
  <sheetFormatPr baseColWidth="10" defaultRowHeight="16" x14ac:dyDescent="0.2"/>
  <cols>
    <col min="3" max="3" width="18.83203125" customWidth="1"/>
    <col min="4" max="4" width="7.33203125" customWidth="1"/>
    <col min="5" max="5" width="8.5" customWidth="1"/>
    <col min="6" max="6" width="9" customWidth="1"/>
  </cols>
  <sheetData>
    <row r="8" spans="1:10" x14ac:dyDescent="0.2">
      <c r="C8" t="s">
        <v>11</v>
      </c>
    </row>
    <row r="9" spans="1:10" x14ac:dyDescent="0.2">
      <c r="C9" t="s">
        <v>12</v>
      </c>
    </row>
    <row r="11" spans="1:10" x14ac:dyDescent="0.2">
      <c r="D11" s="1" t="s">
        <v>0</v>
      </c>
      <c r="E11" s="1"/>
      <c r="F11" s="1" t="s">
        <v>1</v>
      </c>
      <c r="G11" s="1"/>
      <c r="H11" s="1" t="s">
        <v>2</v>
      </c>
      <c r="I11" s="1"/>
    </row>
    <row r="12" spans="1:10" x14ac:dyDescent="0.2">
      <c r="D12" t="s">
        <v>3</v>
      </c>
      <c r="E12" t="s">
        <v>4</v>
      </c>
      <c r="F12" t="s">
        <v>3</v>
      </c>
      <c r="G12" t="s">
        <v>4</v>
      </c>
      <c r="H12" t="s">
        <v>3</v>
      </c>
      <c r="I12" t="s">
        <v>4</v>
      </c>
      <c r="J12" s="2"/>
    </row>
    <row r="13" spans="1:10" x14ac:dyDescent="0.2">
      <c r="A13" t="s">
        <v>9</v>
      </c>
      <c r="C13" t="s">
        <v>5</v>
      </c>
      <c r="D13" t="s">
        <v>6</v>
      </c>
      <c r="E13" t="s">
        <v>7</v>
      </c>
      <c r="F13" t="s">
        <v>6</v>
      </c>
      <c r="G13" t="s">
        <v>7</v>
      </c>
      <c r="H13" t="s">
        <v>6</v>
      </c>
      <c r="I13" t="s">
        <v>7</v>
      </c>
    </row>
    <row r="14" spans="1:10" x14ac:dyDescent="0.2">
      <c r="A14" s="1" t="s">
        <v>8</v>
      </c>
      <c r="B14" s="1"/>
      <c r="C14" s="4">
        <v>0</v>
      </c>
      <c r="D14" s="3">
        <v>0.1</v>
      </c>
      <c r="E14" s="3">
        <v>4</v>
      </c>
      <c r="F14" s="3">
        <f>D14+0.5</f>
        <v>0.6</v>
      </c>
      <c r="G14" s="3">
        <v>5</v>
      </c>
      <c r="H14" s="3">
        <f>D14+1</f>
        <v>1.1000000000000001</v>
      </c>
      <c r="I14" s="3">
        <v>7</v>
      </c>
    </row>
    <row r="15" spans="1:10" x14ac:dyDescent="0.2">
      <c r="A15" s="1" t="s">
        <v>8</v>
      </c>
      <c r="B15" s="1"/>
      <c r="C15" s="4">
        <v>3</v>
      </c>
      <c r="D15" s="3">
        <v>0.2</v>
      </c>
      <c r="E15" s="3">
        <v>3.82</v>
      </c>
      <c r="F15" s="3">
        <f>D15+0.5</f>
        <v>0.7</v>
      </c>
      <c r="G15" s="3">
        <v>5.42</v>
      </c>
      <c r="H15" s="3">
        <f>D15+1</f>
        <v>1.2</v>
      </c>
      <c r="I15" s="3">
        <v>7.42</v>
      </c>
    </row>
    <row r="16" spans="1:10" x14ac:dyDescent="0.2">
      <c r="A16" s="1" t="s">
        <v>8</v>
      </c>
      <c r="B16" s="1"/>
      <c r="C16">
        <v>6</v>
      </c>
      <c r="D16" s="3">
        <v>0.3</v>
      </c>
      <c r="E16" s="3">
        <v>4.5</v>
      </c>
      <c r="F16" s="3">
        <f>D16+0.5</f>
        <v>0.8</v>
      </c>
      <c r="G16" s="3">
        <v>5.9</v>
      </c>
      <c r="H16" s="3">
        <f>D16+1</f>
        <v>1.3</v>
      </c>
      <c r="I16" s="3">
        <v>8.1</v>
      </c>
    </row>
    <row r="17" spans="1:9" x14ac:dyDescent="0.2">
      <c r="A17" s="1" t="s">
        <v>8</v>
      </c>
      <c r="B17" s="1"/>
      <c r="C17">
        <v>9</v>
      </c>
      <c r="D17" s="3">
        <v>0.4</v>
      </c>
      <c r="E17" s="3">
        <v>5.4</v>
      </c>
      <c r="F17" s="3">
        <f>D17+0.5</f>
        <v>0.9</v>
      </c>
      <c r="G17" s="3">
        <v>6.5</v>
      </c>
      <c r="H17" s="3">
        <f>D17+1</f>
        <v>1.4</v>
      </c>
      <c r="I17" s="3">
        <v>8.6999999999999993</v>
      </c>
    </row>
    <row r="18" spans="1:9" x14ac:dyDescent="0.2">
      <c r="A18" s="1" t="s">
        <v>8</v>
      </c>
      <c r="B18" s="1"/>
      <c r="C18">
        <v>12</v>
      </c>
      <c r="D18" s="3">
        <v>0.5</v>
      </c>
      <c r="E18" s="3">
        <v>6.1</v>
      </c>
      <c r="F18" s="3">
        <f>D18+0.5</f>
        <v>1</v>
      </c>
      <c r="G18" s="3">
        <v>7.3</v>
      </c>
      <c r="H18" s="3">
        <f>D18+1</f>
        <v>1.5</v>
      </c>
      <c r="I18" s="3">
        <v>9.5</v>
      </c>
    </row>
    <row r="19" spans="1:9" x14ac:dyDescent="0.2">
      <c r="A19" s="1" t="s">
        <v>8</v>
      </c>
      <c r="B19" s="1"/>
      <c r="C19">
        <v>15</v>
      </c>
      <c r="D19" s="3">
        <v>0.6</v>
      </c>
      <c r="E19" s="3">
        <v>6.1</v>
      </c>
      <c r="F19" s="3">
        <f>D19+0.5</f>
        <v>1.1000000000000001</v>
      </c>
      <c r="G19" s="3">
        <v>7.3</v>
      </c>
      <c r="H19" s="3">
        <f>D19+1</f>
        <v>1.6</v>
      </c>
      <c r="I19" s="3">
        <v>9.6</v>
      </c>
    </row>
    <row r="20" spans="1:9" x14ac:dyDescent="0.2">
      <c r="A20" s="1" t="s">
        <v>8</v>
      </c>
      <c r="B20" s="1"/>
      <c r="C20">
        <v>18</v>
      </c>
      <c r="D20" s="3">
        <v>0.7</v>
      </c>
      <c r="E20" s="3">
        <v>6.2</v>
      </c>
      <c r="F20" s="3">
        <f>D20+0.5</f>
        <v>1.2</v>
      </c>
      <c r="G20" s="3">
        <v>7.7</v>
      </c>
      <c r="H20" s="3">
        <f>D20+1</f>
        <v>1.7</v>
      </c>
      <c r="I20" s="3">
        <v>10</v>
      </c>
    </row>
    <row r="21" spans="1:9" x14ac:dyDescent="0.2">
      <c r="A21" s="1" t="s">
        <v>8</v>
      </c>
      <c r="B21" s="1"/>
      <c r="C21">
        <v>21</v>
      </c>
      <c r="D21" s="3">
        <v>0.8</v>
      </c>
      <c r="E21" s="3">
        <v>6.8</v>
      </c>
      <c r="F21" s="3">
        <f>D21+0.5</f>
        <v>1.3</v>
      </c>
      <c r="G21" s="3">
        <v>8.3000000000000007</v>
      </c>
      <c r="H21" s="3">
        <f>D21+1</f>
        <v>1.8</v>
      </c>
      <c r="I21" s="3">
        <v>10.4</v>
      </c>
    </row>
    <row r="22" spans="1:9" x14ac:dyDescent="0.2">
      <c r="A22" s="1" t="s">
        <v>8</v>
      </c>
      <c r="B22" s="1"/>
      <c r="C22">
        <v>24</v>
      </c>
      <c r="D22" s="3">
        <v>0.9</v>
      </c>
      <c r="E22" s="3">
        <v>7.52</v>
      </c>
      <c r="F22" s="3">
        <f>D22+0.5</f>
        <v>1.4</v>
      </c>
      <c r="G22" s="3">
        <v>8.92</v>
      </c>
      <c r="H22" s="3">
        <f>D22+1</f>
        <v>1.9</v>
      </c>
      <c r="I22" s="3">
        <v>11.12</v>
      </c>
    </row>
    <row r="23" spans="1:9" x14ac:dyDescent="0.2">
      <c r="A23" s="1" t="s">
        <v>8</v>
      </c>
      <c r="B23" s="1"/>
      <c r="C23">
        <v>27</v>
      </c>
      <c r="D23" s="3">
        <v>1</v>
      </c>
      <c r="E23" s="3">
        <v>7.9</v>
      </c>
      <c r="F23" s="3">
        <f>D23+0.5</f>
        <v>1.5</v>
      </c>
      <c r="G23" s="3">
        <v>9.6</v>
      </c>
      <c r="H23" s="3">
        <f>D23+1</f>
        <v>2</v>
      </c>
      <c r="I23" s="3">
        <v>11.6</v>
      </c>
    </row>
    <row r="24" spans="1:9" x14ac:dyDescent="0.2">
      <c r="A24" s="1" t="s">
        <v>8</v>
      </c>
      <c r="B24" s="1"/>
      <c r="C24">
        <v>30</v>
      </c>
      <c r="D24" s="3">
        <v>1.5</v>
      </c>
      <c r="E24" s="3">
        <v>9.6</v>
      </c>
      <c r="F24" s="3">
        <f>D24+0.5</f>
        <v>2</v>
      </c>
      <c r="G24" s="3">
        <v>11.3</v>
      </c>
      <c r="H24" s="3">
        <f>D24+1</f>
        <v>2.5</v>
      </c>
      <c r="I24" s="3">
        <v>13.5</v>
      </c>
    </row>
    <row r="25" spans="1:9" x14ac:dyDescent="0.2">
      <c r="A25" s="1" t="s">
        <v>8</v>
      </c>
      <c r="B25" s="1"/>
      <c r="C25">
        <v>33</v>
      </c>
      <c r="D25" s="3">
        <v>2</v>
      </c>
      <c r="E25" s="3">
        <v>12.1</v>
      </c>
      <c r="F25" s="3">
        <f>D25+0.5</f>
        <v>2.5</v>
      </c>
      <c r="G25" s="3">
        <v>14.1</v>
      </c>
      <c r="H25" s="3">
        <f>D25+1</f>
        <v>3</v>
      </c>
      <c r="I25" s="3">
        <v>15.7</v>
      </c>
    </row>
    <row r="26" spans="1:9" x14ac:dyDescent="0.2">
      <c r="A26" s="1" t="s">
        <v>8</v>
      </c>
      <c r="B26" s="1"/>
      <c r="C26">
        <v>36</v>
      </c>
      <c r="D26" s="3">
        <v>2.5</v>
      </c>
      <c r="E26" s="3">
        <v>14.3</v>
      </c>
      <c r="F26" s="3">
        <f>D26+0.5</f>
        <v>3</v>
      </c>
      <c r="G26" s="3">
        <v>15.8</v>
      </c>
      <c r="H26" s="3">
        <f>D26+1</f>
        <v>3.5</v>
      </c>
      <c r="I26" s="3">
        <v>17.100000000000001</v>
      </c>
    </row>
    <row r="27" spans="1:9" x14ac:dyDescent="0.2">
      <c r="A27" s="1" t="s">
        <v>10</v>
      </c>
      <c r="B27" s="1"/>
      <c r="C27">
        <v>39</v>
      </c>
      <c r="D27" s="3">
        <v>3</v>
      </c>
      <c r="E27" s="3">
        <v>26.1</v>
      </c>
      <c r="F27" s="3">
        <f>D27+0.5</f>
        <v>3.5</v>
      </c>
      <c r="G27" s="3">
        <v>28</v>
      </c>
      <c r="H27" s="3">
        <f>D27+1</f>
        <v>4</v>
      </c>
      <c r="I27" s="3">
        <v>29.7</v>
      </c>
    </row>
    <row r="28" spans="1:9" x14ac:dyDescent="0.2">
      <c r="A28" s="1" t="s">
        <v>8</v>
      </c>
      <c r="B28" s="1"/>
      <c r="C28">
        <v>42</v>
      </c>
      <c r="D28" s="3">
        <v>5</v>
      </c>
      <c r="E28" s="3">
        <v>16.22</v>
      </c>
      <c r="F28" s="3">
        <f>D28+0.5</f>
        <v>5.5</v>
      </c>
      <c r="G28" s="3">
        <v>16.8</v>
      </c>
      <c r="H28" s="3">
        <f>D28+1</f>
        <v>6</v>
      </c>
      <c r="I28" s="3">
        <v>17.899999999999999</v>
      </c>
    </row>
    <row r="29" spans="1:9" x14ac:dyDescent="0.2">
      <c r="A29" s="1" t="s">
        <v>8</v>
      </c>
      <c r="B29" s="1"/>
      <c r="C29">
        <v>46</v>
      </c>
      <c r="D29" s="3">
        <v>6</v>
      </c>
      <c r="E29" s="3">
        <v>17.100000000000001</v>
      </c>
      <c r="F29" s="3">
        <f>D29+0.5</f>
        <v>6.5</v>
      </c>
      <c r="G29" s="3">
        <v>18.100000000000001</v>
      </c>
      <c r="H29" s="3">
        <f>D29+1</f>
        <v>7</v>
      </c>
      <c r="I29" s="3">
        <v>19.2</v>
      </c>
    </row>
    <row r="30" spans="1:9" x14ac:dyDescent="0.2">
      <c r="A30" s="1" t="s">
        <v>8</v>
      </c>
      <c r="B30" s="1"/>
      <c r="C30">
        <v>49</v>
      </c>
      <c r="D30" s="3">
        <v>3.5</v>
      </c>
      <c r="E30" s="3">
        <v>15.5</v>
      </c>
      <c r="F30" s="3">
        <f>D30+0.5</f>
        <v>4</v>
      </c>
      <c r="G30" s="3"/>
      <c r="H30" s="3">
        <f>D30+1</f>
        <v>4.5</v>
      </c>
    </row>
    <row r="31" spans="1:9" x14ac:dyDescent="0.2">
      <c r="C31">
        <v>52</v>
      </c>
      <c r="D31" s="3">
        <v>3.8</v>
      </c>
      <c r="F31" s="3">
        <f>D31+0.5</f>
        <v>4.3</v>
      </c>
      <c r="H31" s="3">
        <f>D31+1</f>
        <v>4.8</v>
      </c>
    </row>
    <row r="32" spans="1:9" x14ac:dyDescent="0.2">
      <c r="C32">
        <v>55</v>
      </c>
      <c r="D32" s="3">
        <v>4.2</v>
      </c>
      <c r="F32" s="3">
        <f>D32+0.5</f>
        <v>4.7</v>
      </c>
      <c r="H32" s="3">
        <f>D32+1</f>
        <v>5.2</v>
      </c>
    </row>
    <row r="33" spans="3:8" x14ac:dyDescent="0.2">
      <c r="C33">
        <v>58</v>
      </c>
      <c r="D33" s="3">
        <v>3.25</v>
      </c>
      <c r="F33" s="3">
        <f>D33+0.5</f>
        <v>3.75</v>
      </c>
      <c r="H33" s="3">
        <f>D33+1</f>
        <v>4.25</v>
      </c>
    </row>
    <row r="34" spans="3:8" x14ac:dyDescent="0.2">
      <c r="C34">
        <v>61</v>
      </c>
      <c r="D34">
        <v>3.1</v>
      </c>
      <c r="F34" s="3">
        <f t="shared" ref="F34:F35" si="0">D34+0.5</f>
        <v>3.6</v>
      </c>
      <c r="H34" s="3">
        <f t="shared" ref="H34:H35" si="1">D34+1</f>
        <v>4.0999999999999996</v>
      </c>
    </row>
    <row r="35" spans="3:8" x14ac:dyDescent="0.2">
      <c r="C35">
        <v>64</v>
      </c>
      <c r="D35" s="3">
        <v>2.8</v>
      </c>
      <c r="F35" s="3">
        <f t="shared" si="0"/>
        <v>3.3</v>
      </c>
      <c r="H35" s="3">
        <f t="shared" si="1"/>
        <v>3.8</v>
      </c>
    </row>
  </sheetData>
  <mergeCells count="20">
    <mergeCell ref="A29:B29"/>
    <mergeCell ref="A30:B30"/>
    <mergeCell ref="A23:B23"/>
    <mergeCell ref="A24:B24"/>
    <mergeCell ref="A25:B25"/>
    <mergeCell ref="A26:B26"/>
    <mergeCell ref="A27:B27"/>
    <mergeCell ref="A28:B28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D11:E11"/>
    <mergeCell ref="F11:G11"/>
    <mergeCell ref="H11:I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Caré</dc:creator>
  <cp:lastModifiedBy>Arthur Caré</cp:lastModifiedBy>
  <dcterms:created xsi:type="dcterms:W3CDTF">2026-10-08T17:53:06Z</dcterms:created>
  <dcterms:modified xsi:type="dcterms:W3CDTF">2026-10-08T20:17:35Z</dcterms:modified>
</cp:coreProperties>
</file>